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3613"/>
  <workbookPr autoCompressPictures="0"/>
  <bookViews>
    <workbookView xWindow="1620" yWindow="0" windowWidth="27340" windowHeight="15880"/>
  </bookViews>
  <sheets>
    <sheet name="hki-vas-data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1" l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2" i="1"/>
  <c r="R2" i="1"/>
</calcChain>
</file>

<file path=xl/sharedStrings.xml><?xml version="1.0" encoding="utf-8"?>
<sst xmlns="http://schemas.openxmlformats.org/spreadsheetml/2006/main" count="335" uniqueCount="109">
  <si>
    <t>year</t>
  </si>
  <si>
    <t>round</t>
  </si>
  <si>
    <t>iso_a2</t>
  </si>
  <si>
    <t>admin_field</t>
  </si>
  <si>
    <t>admin_code</t>
  </si>
  <si>
    <t>country</t>
  </si>
  <si>
    <t>level</t>
  </si>
  <si>
    <t>catchment_area</t>
  </si>
  <si>
    <t>vas_6_11</t>
  </si>
  <si>
    <t>vas_12_59</t>
  </si>
  <si>
    <t>vas_6_59</t>
  </si>
  <si>
    <t>dw_1259</t>
  </si>
  <si>
    <t>vas_6_59_f</t>
  </si>
  <si>
    <t>vas_6_59_m</t>
  </si>
  <si>
    <t>admin_pecs_6_59</t>
  </si>
  <si>
    <t>admin_nat_6_59</t>
  </si>
  <si>
    <t>pecs_admin_delta</t>
  </si>
  <si>
    <t>ona</t>
  </si>
  <si>
    <t>pecs_lat</t>
  </si>
  <si>
    <t>pecs_long</t>
  </si>
  <si>
    <t>BF</t>
  </si>
  <si>
    <t>code_hasc</t>
  </si>
  <si>
    <t>BF.SM</t>
  </si>
  <si>
    <t>Burkina Faso</t>
  </si>
  <si>
    <t>catchment</t>
  </si>
  <si>
    <t>Sahel</t>
  </si>
  <si>
    <t>no</t>
  </si>
  <si>
    <t>BF.OD</t>
  </si>
  <si>
    <t>BF.YG</t>
  </si>
  <si>
    <t>BF.SE</t>
  </si>
  <si>
    <t>BF.KP</t>
  </si>
  <si>
    <t>BF.TA</t>
  </si>
  <si>
    <t>BF.KJ</t>
  </si>
  <si>
    <t>BF.GG</t>
  </si>
  <si>
    <t>BF.GM</t>
  </si>
  <si>
    <t>gns_region</t>
  </si>
  <si>
    <t>UV86</t>
  </si>
  <si>
    <t>East</t>
  </si>
  <si>
    <t>UV90</t>
  </si>
  <si>
    <t>East (Diapaga, Fada, Pama, Gayeri)</t>
  </si>
  <si>
    <t>yes</t>
  </si>
  <si>
    <t>CM</t>
  </si>
  <si>
    <t>CM.LT</t>
  </si>
  <si>
    <t>Cameroon</t>
  </si>
  <si>
    <t>Wouri Division/Littoral Region</t>
  </si>
  <si>
    <t>CI</t>
  </si>
  <si>
    <t>Cote d'Ivoire</t>
  </si>
  <si>
    <t>national</t>
  </si>
  <si>
    <t>National</t>
  </si>
  <si>
    <t>CD</t>
  </si>
  <si>
    <t>CD.BC</t>
  </si>
  <si>
    <t>DRC</t>
  </si>
  <si>
    <t>Bas-Congo</t>
  </si>
  <si>
    <t>CD.KN</t>
  </si>
  <si>
    <t>Kinshasa</t>
  </si>
  <si>
    <t>GN</t>
  </si>
  <si>
    <t>GN.KA</t>
  </si>
  <si>
    <t>Guinea</t>
  </si>
  <si>
    <t>Kankan</t>
  </si>
  <si>
    <t>GN.KE</t>
  </si>
  <si>
    <t>Kerouane (Kankan)</t>
  </si>
  <si>
    <t>GN.BK</t>
  </si>
  <si>
    <t>Boke</t>
  </si>
  <si>
    <t>GN.FA</t>
  </si>
  <si>
    <t>Faranah</t>
  </si>
  <si>
    <t>GN.MM</t>
  </si>
  <si>
    <t>Mamou</t>
  </si>
  <si>
    <t>KE</t>
  </si>
  <si>
    <t>KE.A</t>
  </si>
  <si>
    <t>Kenya</t>
  </si>
  <si>
    <t>Non-ASAL</t>
  </si>
  <si>
    <t>KE.CO</t>
  </si>
  <si>
    <t>Mumias and Matuga (Kwale)</t>
  </si>
  <si>
    <t>MZ</t>
  </si>
  <si>
    <t>MZ.NM</t>
  </si>
  <si>
    <t>Mozambique</t>
  </si>
  <si>
    <t>Nampula</t>
  </si>
  <si>
    <t>MZ.GA</t>
  </si>
  <si>
    <t>Chibuto and Mandlakazi (Gaza)</t>
  </si>
  <si>
    <t>NE</t>
  </si>
  <si>
    <t>Niger</t>
  </si>
  <si>
    <t>NE.DF</t>
  </si>
  <si>
    <t>Diffa</t>
  </si>
  <si>
    <t>NE.NI</t>
  </si>
  <si>
    <t>Niamey</t>
  </si>
  <si>
    <t>NE.TH</t>
  </si>
  <si>
    <t>Tahoua</t>
  </si>
  <si>
    <t>NG</t>
  </si>
  <si>
    <t>NG.FC</t>
  </si>
  <si>
    <t>Nigeria</t>
  </si>
  <si>
    <t>FCT</t>
  </si>
  <si>
    <t>NG.AK</t>
  </si>
  <si>
    <t>catchement</t>
  </si>
  <si>
    <t>Akwa Ibom</t>
  </si>
  <si>
    <t>NG.BE</t>
  </si>
  <si>
    <t>Benue</t>
  </si>
  <si>
    <t>SL</t>
  </si>
  <si>
    <t>SN</t>
  </si>
  <si>
    <t>Sierra Leone</t>
  </si>
  <si>
    <t>TZ</t>
  </si>
  <si>
    <t>TZ.SH</t>
  </si>
  <si>
    <t>Tanzania</t>
  </si>
  <si>
    <t xml:space="preserve">Intervention: Bariadi, Singida Urban, Newala .  Control: Rorya 
Arusha Rural , Lindi Urban </t>
  </si>
  <si>
    <t>TZ.TB</t>
  </si>
  <si>
    <t>Tabora and Shinyanga</t>
  </si>
  <si>
    <t>Senegal</t>
  </si>
  <si>
    <t>TZ.DS</t>
  </si>
  <si>
    <t>Dar es Salaam</t>
  </si>
  <si>
    <t>pecs_admin_delta_positive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</si>
</sst>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6"/>
  <sheetViews>
    <sheetView tabSelected="1" workbookViewId="0">
      <selection activeCell="T9" sqref="T9"/>
    </sheetView>
  </sheetViews>
  <sheetFormatPr baseColWidth="10" defaultColWidth="8.83203125" defaultRowHeight="14" x14ac:dyDescent="0"/>
  <cols>
    <col min="3" max="3" width="6.5" bestFit="1" customWidth="1"/>
    <col min="4" max="4" width="11.6640625" bestFit="1" customWidth="1"/>
    <col min="18" max="18" width="15.33203125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108</v>
      </c>
      <c r="S1" t="s">
        <v>17</v>
      </c>
      <c r="T1" t="s">
        <v>18</v>
      </c>
      <c r="U1" t="s">
        <v>19</v>
      </c>
    </row>
    <row r="2" spans="1:21">
      <c r="A2">
        <v>2011</v>
      </c>
      <c r="B2">
        <v>2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>
        <v>95.5</v>
      </c>
      <c r="J2">
        <v>93.2</v>
      </c>
      <c r="K2">
        <v>93.7</v>
      </c>
      <c r="M2">
        <v>93.9</v>
      </c>
      <c r="N2">
        <v>94.3</v>
      </c>
      <c r="O2">
        <v>99</v>
      </c>
      <c r="P2">
        <v>99</v>
      </c>
      <c r="Q2">
        <f>K2-O2</f>
        <v>-5.2999999999999972</v>
      </c>
      <c r="R2" s="1">
        <f>Q2</f>
        <v>-5.2999999999999972</v>
      </c>
      <c r="S2" t="s">
        <v>26</v>
      </c>
    </row>
    <row r="3" spans="1:21">
      <c r="A3">
        <v>2011</v>
      </c>
      <c r="B3">
        <v>2</v>
      </c>
      <c r="C3" t="s">
        <v>20</v>
      </c>
      <c r="D3" t="s">
        <v>21</v>
      </c>
      <c r="E3" t="s">
        <v>27</v>
      </c>
      <c r="F3" t="s">
        <v>23</v>
      </c>
      <c r="G3" t="s">
        <v>24</v>
      </c>
      <c r="H3" t="s">
        <v>25</v>
      </c>
      <c r="I3">
        <v>95.5</v>
      </c>
      <c r="J3">
        <v>93.2</v>
      </c>
      <c r="K3">
        <v>93.7</v>
      </c>
      <c r="M3">
        <v>93.9</v>
      </c>
      <c r="N3">
        <v>94.3</v>
      </c>
      <c r="O3">
        <v>99</v>
      </c>
      <c r="P3">
        <v>99</v>
      </c>
      <c r="Q3">
        <f t="shared" ref="Q3:Q46" si="0">K3-O3</f>
        <v>-5.2999999999999972</v>
      </c>
      <c r="R3" s="1">
        <f t="shared" ref="R3:R46" si="1">Q3</f>
        <v>-5.2999999999999972</v>
      </c>
      <c r="S3" t="s">
        <v>26</v>
      </c>
    </row>
    <row r="4" spans="1:21">
      <c r="A4">
        <v>2011</v>
      </c>
      <c r="B4">
        <v>2</v>
      </c>
      <c r="C4" t="s">
        <v>20</v>
      </c>
      <c r="D4" t="s">
        <v>21</v>
      </c>
      <c r="E4" t="s">
        <v>28</v>
      </c>
      <c r="F4" t="s">
        <v>23</v>
      </c>
      <c r="G4" t="s">
        <v>24</v>
      </c>
      <c r="H4" t="s">
        <v>25</v>
      </c>
      <c r="I4">
        <v>95.5</v>
      </c>
      <c r="J4">
        <v>93.2</v>
      </c>
      <c r="K4">
        <v>93.7</v>
      </c>
      <c r="M4">
        <v>93.9</v>
      </c>
      <c r="N4">
        <v>94.3</v>
      </c>
      <c r="O4">
        <v>99</v>
      </c>
      <c r="P4">
        <v>99</v>
      </c>
      <c r="Q4">
        <f t="shared" si="0"/>
        <v>-5.2999999999999972</v>
      </c>
      <c r="R4" s="1">
        <f t="shared" si="1"/>
        <v>-5.2999999999999972</v>
      </c>
      <c r="S4" t="s">
        <v>26</v>
      </c>
    </row>
    <row r="5" spans="1:21">
      <c r="A5">
        <v>2011</v>
      </c>
      <c r="B5">
        <v>2</v>
      </c>
      <c r="C5" t="s">
        <v>20</v>
      </c>
      <c r="D5" t="s">
        <v>21</v>
      </c>
      <c r="E5" t="s">
        <v>29</v>
      </c>
      <c r="F5" t="s">
        <v>23</v>
      </c>
      <c r="G5" t="s">
        <v>24</v>
      </c>
      <c r="H5" t="s">
        <v>25</v>
      </c>
      <c r="I5">
        <v>95.5</v>
      </c>
      <c r="J5">
        <v>93.2</v>
      </c>
      <c r="K5">
        <v>93.7</v>
      </c>
      <c r="M5">
        <v>93.9</v>
      </c>
      <c r="N5">
        <v>94.3</v>
      </c>
      <c r="O5">
        <v>99</v>
      </c>
      <c r="P5">
        <v>99</v>
      </c>
      <c r="Q5">
        <f t="shared" si="0"/>
        <v>-5.2999999999999972</v>
      </c>
      <c r="R5" s="1">
        <f t="shared" si="1"/>
        <v>-5.2999999999999972</v>
      </c>
      <c r="S5" t="s">
        <v>26</v>
      </c>
    </row>
    <row r="6" spans="1:21">
      <c r="A6">
        <v>2012</v>
      </c>
      <c r="B6">
        <v>1</v>
      </c>
      <c r="C6" t="s">
        <v>20</v>
      </c>
      <c r="D6" t="s">
        <v>21</v>
      </c>
      <c r="E6" t="s">
        <v>30</v>
      </c>
      <c r="F6" t="s">
        <v>23</v>
      </c>
      <c r="G6" t="s">
        <v>24</v>
      </c>
      <c r="H6" t="s">
        <v>25</v>
      </c>
      <c r="I6">
        <v>88.6</v>
      </c>
      <c r="J6">
        <v>91</v>
      </c>
      <c r="K6">
        <v>90.6</v>
      </c>
      <c r="M6">
        <v>88.6</v>
      </c>
      <c r="N6">
        <v>92.4</v>
      </c>
      <c r="O6">
        <v>91.7</v>
      </c>
      <c r="P6">
        <v>99</v>
      </c>
      <c r="Q6">
        <f t="shared" si="0"/>
        <v>-1.1000000000000085</v>
      </c>
      <c r="R6" s="1">
        <f t="shared" si="1"/>
        <v>-1.1000000000000085</v>
      </c>
      <c r="S6" t="s">
        <v>26</v>
      </c>
    </row>
    <row r="7" spans="1:21">
      <c r="A7">
        <v>2012</v>
      </c>
      <c r="B7">
        <v>1</v>
      </c>
      <c r="C7" t="s">
        <v>20</v>
      </c>
      <c r="D7" t="s">
        <v>21</v>
      </c>
      <c r="E7" t="s">
        <v>31</v>
      </c>
      <c r="F7" t="s">
        <v>23</v>
      </c>
      <c r="G7" t="s">
        <v>24</v>
      </c>
      <c r="H7" t="s">
        <v>25</v>
      </c>
      <c r="I7">
        <v>88.6</v>
      </c>
      <c r="J7">
        <v>91</v>
      </c>
      <c r="K7">
        <v>90.6</v>
      </c>
      <c r="M7">
        <v>88.6</v>
      </c>
      <c r="N7">
        <v>92.4</v>
      </c>
      <c r="O7">
        <v>91.7</v>
      </c>
      <c r="P7">
        <v>99</v>
      </c>
      <c r="Q7">
        <f t="shared" si="0"/>
        <v>-1.1000000000000085</v>
      </c>
      <c r="R7" s="1">
        <f t="shared" si="1"/>
        <v>-1.1000000000000085</v>
      </c>
      <c r="S7" t="s">
        <v>26</v>
      </c>
    </row>
    <row r="8" spans="1:21">
      <c r="A8">
        <v>2012</v>
      </c>
      <c r="B8">
        <v>1</v>
      </c>
      <c r="C8" t="s">
        <v>20</v>
      </c>
      <c r="D8" t="s">
        <v>21</v>
      </c>
      <c r="E8" t="s">
        <v>32</v>
      </c>
      <c r="F8" t="s">
        <v>23</v>
      </c>
      <c r="G8" t="s">
        <v>24</v>
      </c>
      <c r="H8" t="s">
        <v>25</v>
      </c>
      <c r="I8">
        <v>88.6</v>
      </c>
      <c r="J8">
        <v>91</v>
      </c>
      <c r="K8">
        <v>90.6</v>
      </c>
      <c r="M8">
        <v>88.6</v>
      </c>
      <c r="N8">
        <v>92.4</v>
      </c>
      <c r="O8">
        <v>91.7</v>
      </c>
      <c r="P8">
        <v>99</v>
      </c>
      <c r="Q8">
        <f t="shared" si="0"/>
        <v>-1.1000000000000085</v>
      </c>
      <c r="R8" s="1">
        <f t="shared" si="1"/>
        <v>-1.1000000000000085</v>
      </c>
      <c r="S8" t="s">
        <v>26</v>
      </c>
    </row>
    <row r="9" spans="1:21">
      <c r="A9">
        <v>2012</v>
      </c>
      <c r="B9">
        <v>1</v>
      </c>
      <c r="C9" t="s">
        <v>20</v>
      </c>
      <c r="D9" t="s">
        <v>21</v>
      </c>
      <c r="E9" t="s">
        <v>33</v>
      </c>
      <c r="F9" t="s">
        <v>23</v>
      </c>
      <c r="G9" t="s">
        <v>24</v>
      </c>
      <c r="H9" t="s">
        <v>25</v>
      </c>
      <c r="I9">
        <v>88.6</v>
      </c>
      <c r="J9">
        <v>91</v>
      </c>
      <c r="K9">
        <v>90.6</v>
      </c>
      <c r="M9">
        <v>88.6</v>
      </c>
      <c r="N9">
        <v>92.4</v>
      </c>
      <c r="O9">
        <v>91.7</v>
      </c>
      <c r="P9">
        <v>99</v>
      </c>
      <c r="Q9">
        <f t="shared" si="0"/>
        <v>-1.1000000000000085</v>
      </c>
      <c r="R9" s="1">
        <f t="shared" si="1"/>
        <v>-1.1000000000000085</v>
      </c>
      <c r="S9" t="s">
        <v>26</v>
      </c>
    </row>
    <row r="10" spans="1:21">
      <c r="A10">
        <v>2012</v>
      </c>
      <c r="B10">
        <v>1</v>
      </c>
      <c r="C10" t="s">
        <v>20</v>
      </c>
      <c r="D10" t="s">
        <v>21</v>
      </c>
      <c r="E10" t="s">
        <v>34</v>
      </c>
      <c r="F10" t="s">
        <v>23</v>
      </c>
      <c r="G10" t="s">
        <v>24</v>
      </c>
      <c r="H10" t="s">
        <v>25</v>
      </c>
      <c r="I10">
        <v>88.6</v>
      </c>
      <c r="J10">
        <v>91</v>
      </c>
      <c r="K10">
        <v>90.6</v>
      </c>
      <c r="M10">
        <v>88.6</v>
      </c>
      <c r="N10">
        <v>92.4</v>
      </c>
      <c r="O10">
        <v>91.7</v>
      </c>
      <c r="P10">
        <v>99</v>
      </c>
      <c r="Q10">
        <f t="shared" si="0"/>
        <v>-1.1000000000000085</v>
      </c>
      <c r="R10" s="1">
        <f t="shared" si="1"/>
        <v>-1.1000000000000085</v>
      </c>
      <c r="S10" t="s">
        <v>26</v>
      </c>
    </row>
    <row r="11" spans="1:21">
      <c r="A11">
        <v>2012</v>
      </c>
      <c r="B11">
        <v>2</v>
      </c>
      <c r="C11" t="s">
        <v>20</v>
      </c>
      <c r="D11" t="s">
        <v>35</v>
      </c>
      <c r="E11" t="s">
        <v>36</v>
      </c>
      <c r="F11" t="s">
        <v>23</v>
      </c>
      <c r="G11" t="s">
        <v>24</v>
      </c>
      <c r="H11" t="s">
        <v>37</v>
      </c>
      <c r="I11">
        <v>83.1</v>
      </c>
      <c r="J11">
        <v>87.6</v>
      </c>
      <c r="K11">
        <v>86.8</v>
      </c>
      <c r="L11">
        <v>72.900000000000006</v>
      </c>
      <c r="M11">
        <v>86.9</v>
      </c>
      <c r="N11">
        <v>86.7</v>
      </c>
      <c r="O11">
        <v>101</v>
      </c>
      <c r="P11">
        <v>99</v>
      </c>
      <c r="Q11">
        <f t="shared" si="0"/>
        <v>-14.200000000000003</v>
      </c>
      <c r="R11" s="1">
        <f t="shared" si="1"/>
        <v>-14.200000000000003</v>
      </c>
      <c r="S11" t="s">
        <v>26</v>
      </c>
    </row>
    <row r="12" spans="1:21">
      <c r="A12">
        <v>2012</v>
      </c>
      <c r="B12">
        <v>2</v>
      </c>
      <c r="C12" t="s">
        <v>20</v>
      </c>
      <c r="D12" t="s">
        <v>35</v>
      </c>
      <c r="E12" t="s">
        <v>38</v>
      </c>
      <c r="F12" t="s">
        <v>23</v>
      </c>
      <c r="G12" t="s">
        <v>24</v>
      </c>
      <c r="H12" t="s">
        <v>25</v>
      </c>
      <c r="I12">
        <v>93.1</v>
      </c>
      <c r="J12">
        <v>93.7</v>
      </c>
      <c r="K12">
        <v>93.6</v>
      </c>
      <c r="L12">
        <v>82.5</v>
      </c>
      <c r="M12">
        <v>93.1</v>
      </c>
      <c r="N12">
        <v>94</v>
      </c>
      <c r="O12">
        <v>93.8</v>
      </c>
      <c r="P12">
        <v>99</v>
      </c>
      <c r="Q12">
        <f t="shared" si="0"/>
        <v>-0.20000000000000284</v>
      </c>
      <c r="R12" s="1">
        <f t="shared" si="1"/>
        <v>-0.20000000000000284</v>
      </c>
      <c r="S12" t="s">
        <v>26</v>
      </c>
    </row>
    <row r="13" spans="1:21">
      <c r="A13">
        <v>2013</v>
      </c>
      <c r="B13">
        <v>1</v>
      </c>
      <c r="C13" t="s">
        <v>20</v>
      </c>
      <c r="D13" t="s">
        <v>35</v>
      </c>
      <c r="E13" t="s">
        <v>36</v>
      </c>
      <c r="F13" t="s">
        <v>23</v>
      </c>
      <c r="G13" t="s">
        <v>24</v>
      </c>
      <c r="H13" t="s">
        <v>39</v>
      </c>
      <c r="I13">
        <v>96</v>
      </c>
      <c r="J13">
        <v>97.1</v>
      </c>
      <c r="K13">
        <v>96.9</v>
      </c>
      <c r="L13">
        <v>87.9</v>
      </c>
      <c r="M13">
        <v>97</v>
      </c>
      <c r="N13">
        <v>96.8</v>
      </c>
      <c r="O13">
        <v>99</v>
      </c>
      <c r="P13">
        <v>99</v>
      </c>
      <c r="Q13">
        <f t="shared" si="0"/>
        <v>-2.0999999999999943</v>
      </c>
      <c r="R13" s="1">
        <f t="shared" si="1"/>
        <v>-2.0999999999999943</v>
      </c>
      <c r="S13" t="s">
        <v>26</v>
      </c>
    </row>
    <row r="14" spans="1:21">
      <c r="A14">
        <v>2013</v>
      </c>
      <c r="B14">
        <v>2</v>
      </c>
      <c r="C14" t="s">
        <v>20</v>
      </c>
      <c r="D14" t="s">
        <v>35</v>
      </c>
      <c r="E14" t="s">
        <v>38</v>
      </c>
      <c r="F14" t="s">
        <v>23</v>
      </c>
      <c r="G14" t="s">
        <v>24</v>
      </c>
      <c r="H14" t="s">
        <v>25</v>
      </c>
      <c r="I14">
        <v>85.7</v>
      </c>
      <c r="J14">
        <v>87.6</v>
      </c>
      <c r="K14">
        <v>87.2</v>
      </c>
      <c r="L14">
        <v>74.099999999999994</v>
      </c>
      <c r="M14">
        <v>89.7</v>
      </c>
      <c r="N14">
        <v>84.7</v>
      </c>
      <c r="O14">
        <v>99</v>
      </c>
      <c r="P14">
        <v>99</v>
      </c>
      <c r="Q14">
        <f t="shared" si="0"/>
        <v>-11.799999999999997</v>
      </c>
      <c r="R14" s="1">
        <f t="shared" si="1"/>
        <v>-11.799999999999997</v>
      </c>
      <c r="S14" t="s">
        <v>40</v>
      </c>
      <c r="T14">
        <v>14.034332819999999</v>
      </c>
      <c r="U14">
        <v>-0.52243028300000005</v>
      </c>
    </row>
    <row r="15" spans="1:21">
      <c r="A15">
        <v>2011</v>
      </c>
      <c r="B15">
        <v>2</v>
      </c>
      <c r="C15" t="s">
        <v>41</v>
      </c>
      <c r="D15" t="s">
        <v>21</v>
      </c>
      <c r="E15" t="s">
        <v>42</v>
      </c>
      <c r="F15" t="s">
        <v>43</v>
      </c>
      <c r="G15" t="s">
        <v>24</v>
      </c>
      <c r="H15" t="s">
        <v>44</v>
      </c>
      <c r="O15">
        <v>93.6</v>
      </c>
      <c r="P15">
        <v>97.7</v>
      </c>
      <c r="Q15">
        <f t="shared" si="0"/>
        <v>-93.6</v>
      </c>
      <c r="R15" s="1">
        <f t="shared" si="1"/>
        <v>-93.6</v>
      </c>
      <c r="S15" t="s">
        <v>26</v>
      </c>
    </row>
    <row r="16" spans="1:21">
      <c r="A16">
        <v>2012</v>
      </c>
      <c r="B16">
        <v>1</v>
      </c>
      <c r="C16" t="s">
        <v>41</v>
      </c>
      <c r="D16" t="s">
        <v>21</v>
      </c>
      <c r="E16" t="s">
        <v>42</v>
      </c>
      <c r="F16" t="s">
        <v>43</v>
      </c>
      <c r="G16" t="s">
        <v>24</v>
      </c>
      <c r="H16" t="s">
        <v>44</v>
      </c>
      <c r="I16">
        <v>60.5</v>
      </c>
      <c r="J16">
        <v>72.7</v>
      </c>
      <c r="K16">
        <v>71.099999999999994</v>
      </c>
      <c r="L16">
        <v>72</v>
      </c>
      <c r="M16">
        <v>73.2</v>
      </c>
      <c r="N16">
        <v>69.3</v>
      </c>
      <c r="O16">
        <v>90.3</v>
      </c>
      <c r="P16">
        <v>89.4</v>
      </c>
      <c r="Q16">
        <f t="shared" si="0"/>
        <v>-19.200000000000003</v>
      </c>
      <c r="R16" s="1">
        <f t="shared" si="1"/>
        <v>-19.200000000000003</v>
      </c>
      <c r="S16" t="s">
        <v>26</v>
      </c>
    </row>
    <row r="17" spans="1:21">
      <c r="A17">
        <v>2012</v>
      </c>
      <c r="B17">
        <v>2</v>
      </c>
      <c r="C17" t="s">
        <v>41</v>
      </c>
      <c r="D17" t="s">
        <v>21</v>
      </c>
      <c r="E17" t="s">
        <v>42</v>
      </c>
      <c r="F17" t="s">
        <v>43</v>
      </c>
      <c r="G17" t="s">
        <v>24</v>
      </c>
      <c r="H17" t="s">
        <v>44</v>
      </c>
      <c r="I17">
        <v>63.2</v>
      </c>
      <c r="J17">
        <v>72.2</v>
      </c>
      <c r="K17">
        <v>70.900000000000006</v>
      </c>
      <c r="L17">
        <v>70.599999999999994</v>
      </c>
      <c r="M17">
        <v>69</v>
      </c>
      <c r="N17">
        <v>72.599999999999994</v>
      </c>
      <c r="O17">
        <v>99</v>
      </c>
      <c r="P17">
        <v>99</v>
      </c>
      <c r="Q17">
        <f t="shared" si="0"/>
        <v>-28.099999999999994</v>
      </c>
      <c r="R17" s="1">
        <f t="shared" si="1"/>
        <v>-28.099999999999994</v>
      </c>
      <c r="S17" t="s">
        <v>26</v>
      </c>
    </row>
    <row r="18" spans="1:21">
      <c r="A18">
        <v>2013</v>
      </c>
      <c r="B18">
        <v>1</v>
      </c>
      <c r="C18" t="s">
        <v>41</v>
      </c>
      <c r="D18" t="s">
        <v>21</v>
      </c>
      <c r="E18" t="s">
        <v>42</v>
      </c>
      <c r="F18" t="s">
        <v>43</v>
      </c>
      <c r="G18" t="s">
        <v>24</v>
      </c>
      <c r="H18" t="s">
        <v>44</v>
      </c>
      <c r="I18">
        <v>62.5</v>
      </c>
      <c r="J18">
        <v>72.8</v>
      </c>
      <c r="K18">
        <v>71.400000000000006</v>
      </c>
      <c r="L18">
        <v>70.8</v>
      </c>
      <c r="M18">
        <v>72.8</v>
      </c>
      <c r="N18">
        <v>70.099999999999994</v>
      </c>
      <c r="O18">
        <v>81.400000000000006</v>
      </c>
      <c r="P18">
        <v>99</v>
      </c>
      <c r="Q18">
        <f t="shared" si="0"/>
        <v>-10</v>
      </c>
      <c r="R18" s="1">
        <f t="shared" si="1"/>
        <v>-10</v>
      </c>
      <c r="S18" t="s">
        <v>40</v>
      </c>
      <c r="T18">
        <v>4.0446433869999998</v>
      </c>
      <c r="U18">
        <v>9.7604466589999994</v>
      </c>
    </row>
    <row r="19" spans="1:21">
      <c r="A19">
        <v>2013</v>
      </c>
      <c r="B19">
        <v>2</v>
      </c>
      <c r="C19" t="s">
        <v>41</v>
      </c>
      <c r="D19" t="s">
        <v>21</v>
      </c>
      <c r="E19" t="s">
        <v>42</v>
      </c>
      <c r="F19" t="s">
        <v>43</v>
      </c>
      <c r="G19" t="s">
        <v>24</v>
      </c>
      <c r="H19" t="s">
        <v>44</v>
      </c>
      <c r="I19">
        <v>80.599999999999994</v>
      </c>
      <c r="J19">
        <v>79.599999999999994</v>
      </c>
      <c r="K19">
        <v>79.8</v>
      </c>
      <c r="L19">
        <v>78</v>
      </c>
      <c r="M19">
        <v>79.7</v>
      </c>
      <c r="N19">
        <v>79.900000000000006</v>
      </c>
      <c r="O19">
        <v>99</v>
      </c>
      <c r="P19">
        <v>99</v>
      </c>
      <c r="Q19">
        <f t="shared" si="0"/>
        <v>-19.200000000000003</v>
      </c>
      <c r="R19" s="1">
        <f t="shared" si="1"/>
        <v>-19.200000000000003</v>
      </c>
      <c r="S19" t="s">
        <v>40</v>
      </c>
      <c r="T19">
        <v>4.0617207820000001</v>
      </c>
      <c r="U19">
        <v>9.7630824450000002</v>
      </c>
    </row>
    <row r="20" spans="1:21">
      <c r="A20">
        <v>2012</v>
      </c>
      <c r="B20">
        <v>1</v>
      </c>
      <c r="C20" t="s">
        <v>45</v>
      </c>
      <c r="D20" t="s">
        <v>2</v>
      </c>
      <c r="E20" t="s">
        <v>45</v>
      </c>
      <c r="F20" t="s">
        <v>46</v>
      </c>
      <c r="G20" t="s">
        <v>47</v>
      </c>
      <c r="H20" t="s">
        <v>48</v>
      </c>
      <c r="I20">
        <v>90.7</v>
      </c>
      <c r="J20">
        <v>90.8</v>
      </c>
      <c r="K20">
        <v>90.8</v>
      </c>
      <c r="L20">
        <v>88.2</v>
      </c>
      <c r="M20">
        <v>90.9</v>
      </c>
      <c r="N20">
        <v>90.7</v>
      </c>
      <c r="O20">
        <v>99</v>
      </c>
      <c r="P20">
        <v>99</v>
      </c>
      <c r="Q20">
        <f t="shared" si="0"/>
        <v>-8.2000000000000028</v>
      </c>
      <c r="R20" s="1">
        <f t="shared" si="1"/>
        <v>-8.2000000000000028</v>
      </c>
      <c r="S20" t="s">
        <v>26</v>
      </c>
    </row>
    <row r="21" spans="1:21">
      <c r="A21">
        <v>2012</v>
      </c>
      <c r="B21">
        <v>2</v>
      </c>
      <c r="C21" t="s">
        <v>49</v>
      </c>
      <c r="D21" t="s">
        <v>21</v>
      </c>
      <c r="E21" t="s">
        <v>50</v>
      </c>
      <c r="F21" t="s">
        <v>51</v>
      </c>
      <c r="G21" t="s">
        <v>24</v>
      </c>
      <c r="H21" t="s">
        <v>52</v>
      </c>
      <c r="I21">
        <v>84.6</v>
      </c>
      <c r="J21">
        <v>84.8</v>
      </c>
      <c r="K21">
        <v>84.8</v>
      </c>
      <c r="L21">
        <v>82.9</v>
      </c>
      <c r="M21">
        <v>84.8</v>
      </c>
      <c r="N21">
        <v>84.8</v>
      </c>
      <c r="O21">
        <v>99.1</v>
      </c>
      <c r="P21">
        <v>84.5</v>
      </c>
      <c r="Q21">
        <f t="shared" si="0"/>
        <v>-14.299999999999997</v>
      </c>
      <c r="R21" s="1">
        <f t="shared" si="1"/>
        <v>-14.299999999999997</v>
      </c>
      <c r="S21" t="s">
        <v>26</v>
      </c>
    </row>
    <row r="22" spans="1:21">
      <c r="A22">
        <v>2012</v>
      </c>
      <c r="B22">
        <v>2</v>
      </c>
      <c r="C22" t="s">
        <v>49</v>
      </c>
      <c r="D22" t="s">
        <v>21</v>
      </c>
      <c r="E22" t="s">
        <v>53</v>
      </c>
      <c r="F22" t="s">
        <v>51</v>
      </c>
      <c r="G22" t="s">
        <v>24</v>
      </c>
      <c r="H22" t="s">
        <v>54</v>
      </c>
      <c r="I22">
        <v>84.6</v>
      </c>
      <c r="J22">
        <v>84.8</v>
      </c>
      <c r="K22">
        <v>84.8</v>
      </c>
      <c r="L22">
        <v>82.9</v>
      </c>
      <c r="M22">
        <v>84.8</v>
      </c>
      <c r="N22">
        <v>84.8</v>
      </c>
      <c r="O22">
        <v>99.1</v>
      </c>
      <c r="P22">
        <v>84.5</v>
      </c>
      <c r="Q22">
        <f t="shared" si="0"/>
        <v>-14.299999999999997</v>
      </c>
      <c r="R22" s="1">
        <f t="shared" si="1"/>
        <v>-14.299999999999997</v>
      </c>
      <c r="S22" t="s">
        <v>26</v>
      </c>
    </row>
    <row r="23" spans="1:21">
      <c r="A23">
        <v>2011</v>
      </c>
      <c r="B23">
        <v>2</v>
      </c>
      <c r="C23" t="s">
        <v>55</v>
      </c>
      <c r="D23" t="s">
        <v>21</v>
      </c>
      <c r="E23" t="s">
        <v>56</v>
      </c>
      <c r="F23" t="s">
        <v>57</v>
      </c>
      <c r="G23" t="s">
        <v>24</v>
      </c>
      <c r="H23" t="s">
        <v>58</v>
      </c>
      <c r="I23">
        <v>80.7</v>
      </c>
      <c r="J23">
        <v>85.3</v>
      </c>
      <c r="K23">
        <v>85.1</v>
      </c>
      <c r="M23">
        <v>85</v>
      </c>
      <c r="N23">
        <v>84.2</v>
      </c>
      <c r="O23">
        <v>87.3</v>
      </c>
      <c r="P23">
        <v>90.5</v>
      </c>
      <c r="Q23">
        <f t="shared" si="0"/>
        <v>-2.2000000000000028</v>
      </c>
      <c r="R23" s="1">
        <f t="shared" si="1"/>
        <v>-2.2000000000000028</v>
      </c>
      <c r="S23" t="s">
        <v>26</v>
      </c>
    </row>
    <row r="24" spans="1:21">
      <c r="A24">
        <v>2012</v>
      </c>
      <c r="B24">
        <v>1</v>
      </c>
      <c r="C24" t="s">
        <v>55</v>
      </c>
      <c r="D24" t="s">
        <v>21</v>
      </c>
      <c r="E24" t="s">
        <v>56</v>
      </c>
      <c r="F24" t="s">
        <v>57</v>
      </c>
      <c r="G24" t="s">
        <v>24</v>
      </c>
      <c r="H24" t="s">
        <v>58</v>
      </c>
      <c r="I24">
        <v>88.4</v>
      </c>
      <c r="J24">
        <v>90.6</v>
      </c>
      <c r="K24">
        <v>90.4</v>
      </c>
      <c r="M24">
        <v>90.6</v>
      </c>
      <c r="N24">
        <v>90.3</v>
      </c>
      <c r="O24">
        <v>95</v>
      </c>
      <c r="P24">
        <v>99</v>
      </c>
      <c r="Q24">
        <f t="shared" si="0"/>
        <v>-4.5999999999999943</v>
      </c>
      <c r="R24" s="1">
        <f t="shared" si="1"/>
        <v>-4.5999999999999943</v>
      </c>
      <c r="S24" t="s">
        <v>26</v>
      </c>
    </row>
    <row r="25" spans="1:21">
      <c r="A25">
        <v>2012</v>
      </c>
      <c r="B25">
        <v>2</v>
      </c>
      <c r="C25" t="s">
        <v>55</v>
      </c>
      <c r="D25" t="s">
        <v>21</v>
      </c>
      <c r="E25" t="s">
        <v>59</v>
      </c>
      <c r="F25" t="s">
        <v>57</v>
      </c>
      <c r="G25" t="s">
        <v>24</v>
      </c>
      <c r="H25" t="s">
        <v>60</v>
      </c>
      <c r="I25">
        <v>93.8</v>
      </c>
      <c r="L25">
        <v>93.8</v>
      </c>
      <c r="O25">
        <v>99</v>
      </c>
      <c r="P25">
        <v>97.7</v>
      </c>
      <c r="Q25">
        <f t="shared" si="0"/>
        <v>-99</v>
      </c>
      <c r="R25" s="1">
        <f t="shared" si="1"/>
        <v>-99</v>
      </c>
      <c r="S25" t="s">
        <v>26</v>
      </c>
    </row>
    <row r="26" spans="1:21">
      <c r="A26">
        <v>2013</v>
      </c>
      <c r="B26">
        <v>1</v>
      </c>
      <c r="C26" t="s">
        <v>55</v>
      </c>
      <c r="D26" t="s">
        <v>21</v>
      </c>
      <c r="E26" t="s">
        <v>61</v>
      </c>
      <c r="F26" t="s">
        <v>57</v>
      </c>
      <c r="G26" t="s">
        <v>24</v>
      </c>
      <c r="H26" t="s">
        <v>62</v>
      </c>
      <c r="I26">
        <v>95.9</v>
      </c>
      <c r="J26">
        <v>88.9</v>
      </c>
      <c r="K26">
        <v>89.4</v>
      </c>
      <c r="L26">
        <v>73.900000000000006</v>
      </c>
      <c r="M26">
        <v>88.6</v>
      </c>
      <c r="N26">
        <v>90.2</v>
      </c>
      <c r="O26">
        <v>68.5</v>
      </c>
      <c r="P26">
        <v>97.2</v>
      </c>
      <c r="Q26">
        <f t="shared" si="0"/>
        <v>20.900000000000006</v>
      </c>
      <c r="R26" s="1">
        <f t="shared" si="1"/>
        <v>20.900000000000006</v>
      </c>
      <c r="S26" t="s">
        <v>26</v>
      </c>
    </row>
    <row r="27" spans="1:21">
      <c r="A27">
        <v>2013</v>
      </c>
      <c r="B27">
        <v>1</v>
      </c>
      <c r="C27" t="s">
        <v>55</v>
      </c>
      <c r="D27" t="s">
        <v>21</v>
      </c>
      <c r="E27" t="s">
        <v>63</v>
      </c>
      <c r="F27" t="s">
        <v>57</v>
      </c>
      <c r="G27" t="s">
        <v>24</v>
      </c>
      <c r="H27" t="s">
        <v>64</v>
      </c>
      <c r="I27">
        <v>89.5</v>
      </c>
      <c r="J27">
        <v>93.1</v>
      </c>
      <c r="K27">
        <v>92.4</v>
      </c>
      <c r="L27">
        <v>65.2</v>
      </c>
      <c r="M27">
        <v>91.5</v>
      </c>
      <c r="N27">
        <v>93.2</v>
      </c>
      <c r="O27">
        <v>99</v>
      </c>
      <c r="P27">
        <v>97.2</v>
      </c>
      <c r="Q27">
        <f t="shared" si="0"/>
        <v>-6.5999999999999943</v>
      </c>
      <c r="R27" s="1">
        <f t="shared" si="1"/>
        <v>-6.5999999999999943</v>
      </c>
      <c r="S27" t="s">
        <v>26</v>
      </c>
    </row>
    <row r="28" spans="1:21">
      <c r="A28">
        <v>2013</v>
      </c>
      <c r="B28">
        <v>2</v>
      </c>
      <c r="C28" t="s">
        <v>55</v>
      </c>
      <c r="D28" t="s">
        <v>21</v>
      </c>
      <c r="E28" t="s">
        <v>65</v>
      </c>
      <c r="F28" t="s">
        <v>57</v>
      </c>
      <c r="G28" t="s">
        <v>24</v>
      </c>
      <c r="H28" t="s">
        <v>66</v>
      </c>
      <c r="I28">
        <v>79.8</v>
      </c>
      <c r="J28">
        <v>81.3</v>
      </c>
      <c r="K28">
        <v>81.099999999999994</v>
      </c>
      <c r="L28">
        <v>60.8</v>
      </c>
      <c r="M28">
        <v>82.7</v>
      </c>
      <c r="N28">
        <v>79.599999999999994</v>
      </c>
      <c r="O28">
        <v>83.9</v>
      </c>
      <c r="P28">
        <v>76</v>
      </c>
      <c r="Q28">
        <f t="shared" si="0"/>
        <v>-2.8000000000000114</v>
      </c>
      <c r="R28" s="1">
        <f t="shared" si="1"/>
        <v>-2.8000000000000114</v>
      </c>
      <c r="S28" t="s">
        <v>40</v>
      </c>
    </row>
    <row r="29" spans="1:21">
      <c r="A29">
        <v>2012</v>
      </c>
      <c r="B29">
        <v>1</v>
      </c>
      <c r="C29" t="s">
        <v>67</v>
      </c>
      <c r="D29" t="s">
        <v>21</v>
      </c>
      <c r="E29" t="s">
        <v>68</v>
      </c>
      <c r="F29" t="s">
        <v>69</v>
      </c>
      <c r="G29" t="s">
        <v>24</v>
      </c>
      <c r="H29" t="s">
        <v>70</v>
      </c>
      <c r="I29">
        <v>42.2</v>
      </c>
      <c r="J29">
        <v>29.6</v>
      </c>
      <c r="K29">
        <v>31</v>
      </c>
      <c r="L29">
        <v>19.600000000000001</v>
      </c>
      <c r="M29">
        <v>29.6</v>
      </c>
      <c r="N29">
        <v>32.6</v>
      </c>
      <c r="Q29">
        <f t="shared" si="0"/>
        <v>31</v>
      </c>
      <c r="R29" s="1">
        <f t="shared" si="1"/>
        <v>31</v>
      </c>
      <c r="S29" t="s">
        <v>26</v>
      </c>
    </row>
    <row r="30" spans="1:21">
      <c r="A30">
        <v>2013</v>
      </c>
      <c r="B30">
        <v>1</v>
      </c>
      <c r="C30" t="s">
        <v>67</v>
      </c>
      <c r="D30" t="s">
        <v>21</v>
      </c>
      <c r="E30" t="s">
        <v>71</v>
      </c>
      <c r="F30" t="s">
        <v>69</v>
      </c>
      <c r="G30" t="s">
        <v>24</v>
      </c>
      <c r="H30" t="s">
        <v>72</v>
      </c>
      <c r="I30">
        <v>63.6</v>
      </c>
      <c r="J30">
        <v>57.7</v>
      </c>
      <c r="K30">
        <v>58.3</v>
      </c>
      <c r="L30">
        <v>35.799999999999997</v>
      </c>
      <c r="M30">
        <v>59.3</v>
      </c>
      <c r="N30">
        <v>57.4</v>
      </c>
      <c r="O30">
        <v>30.1</v>
      </c>
      <c r="P30">
        <v>60</v>
      </c>
      <c r="Q30">
        <f t="shared" si="0"/>
        <v>28.199999999999996</v>
      </c>
      <c r="R30" s="1">
        <f t="shared" si="1"/>
        <v>28.199999999999996</v>
      </c>
      <c r="S30" t="s">
        <v>40</v>
      </c>
      <c r="T30">
        <v>-4.3674321200000001</v>
      </c>
      <c r="U30">
        <v>39.193811220000001</v>
      </c>
    </row>
    <row r="31" spans="1:21">
      <c r="A31">
        <v>2012</v>
      </c>
      <c r="B31">
        <v>2</v>
      </c>
      <c r="C31" t="s">
        <v>73</v>
      </c>
      <c r="D31" t="s">
        <v>21</v>
      </c>
      <c r="E31" t="s">
        <v>74</v>
      </c>
      <c r="F31" t="s">
        <v>75</v>
      </c>
      <c r="G31" t="s">
        <v>24</v>
      </c>
      <c r="H31" t="s">
        <v>76</v>
      </c>
      <c r="I31">
        <v>62.9</v>
      </c>
      <c r="J31">
        <v>53.3</v>
      </c>
      <c r="K31">
        <v>54.7</v>
      </c>
      <c r="M31">
        <v>55.9</v>
      </c>
      <c r="N31">
        <v>53.5</v>
      </c>
      <c r="O31">
        <v>99.4</v>
      </c>
      <c r="P31">
        <v>99</v>
      </c>
      <c r="Q31">
        <f t="shared" si="0"/>
        <v>-44.7</v>
      </c>
      <c r="R31" s="1">
        <f t="shared" si="1"/>
        <v>-44.7</v>
      </c>
      <c r="S31" t="s">
        <v>26</v>
      </c>
    </row>
    <row r="32" spans="1:21">
      <c r="A32">
        <v>2013</v>
      </c>
      <c r="B32">
        <v>1</v>
      </c>
      <c r="C32" t="s">
        <v>73</v>
      </c>
      <c r="D32" t="s">
        <v>21</v>
      </c>
      <c r="E32" t="s">
        <v>77</v>
      </c>
      <c r="F32" t="s">
        <v>75</v>
      </c>
      <c r="G32" t="s">
        <v>24</v>
      </c>
      <c r="H32" t="s">
        <v>78</v>
      </c>
      <c r="I32">
        <v>93.3</v>
      </c>
      <c r="J32">
        <v>84.1</v>
      </c>
      <c r="K32">
        <v>85.3</v>
      </c>
      <c r="L32">
        <v>76.2</v>
      </c>
      <c r="M32">
        <v>85.7</v>
      </c>
      <c r="N32">
        <v>84.8</v>
      </c>
      <c r="O32">
        <v>99</v>
      </c>
      <c r="P32">
        <v>99</v>
      </c>
      <c r="Q32">
        <f t="shared" si="0"/>
        <v>-13.700000000000003</v>
      </c>
      <c r="R32" s="1">
        <f t="shared" si="1"/>
        <v>-13.700000000000003</v>
      </c>
      <c r="S32" t="s">
        <v>40</v>
      </c>
      <c r="T32">
        <v>-24.797912</v>
      </c>
      <c r="U32">
        <v>34.178485999999999</v>
      </c>
    </row>
    <row r="33" spans="1:21">
      <c r="A33">
        <v>2011</v>
      </c>
      <c r="B33">
        <v>2</v>
      </c>
      <c r="C33" t="s">
        <v>79</v>
      </c>
      <c r="D33" t="s">
        <v>2</v>
      </c>
      <c r="E33" t="s">
        <v>79</v>
      </c>
      <c r="F33" t="s">
        <v>80</v>
      </c>
      <c r="G33" t="s">
        <v>47</v>
      </c>
      <c r="H33" t="s">
        <v>48</v>
      </c>
      <c r="I33">
        <v>87</v>
      </c>
      <c r="J33">
        <v>92.3</v>
      </c>
      <c r="K33">
        <v>91.8</v>
      </c>
      <c r="M33">
        <v>91.9</v>
      </c>
      <c r="N33">
        <v>91.4</v>
      </c>
      <c r="O33">
        <v>99</v>
      </c>
      <c r="P33">
        <v>99</v>
      </c>
      <c r="Q33">
        <f t="shared" si="0"/>
        <v>-7.2000000000000028</v>
      </c>
      <c r="R33" s="1">
        <f t="shared" si="1"/>
        <v>-7.2000000000000028</v>
      </c>
      <c r="S33" t="s">
        <v>26</v>
      </c>
    </row>
    <row r="34" spans="1:21">
      <c r="A34">
        <v>2012</v>
      </c>
      <c r="B34">
        <v>2</v>
      </c>
      <c r="C34" t="s">
        <v>79</v>
      </c>
      <c r="D34" t="s">
        <v>21</v>
      </c>
      <c r="E34" t="s">
        <v>81</v>
      </c>
      <c r="F34" t="s">
        <v>80</v>
      </c>
      <c r="G34" t="s">
        <v>24</v>
      </c>
      <c r="H34" t="s">
        <v>82</v>
      </c>
      <c r="I34">
        <v>90.8</v>
      </c>
      <c r="J34">
        <v>87.8</v>
      </c>
      <c r="K34">
        <v>88.2</v>
      </c>
      <c r="M34">
        <v>88.1</v>
      </c>
      <c r="N34">
        <v>88.8</v>
      </c>
      <c r="O34">
        <v>99</v>
      </c>
      <c r="P34">
        <v>99</v>
      </c>
      <c r="Q34">
        <f t="shared" si="0"/>
        <v>-10.799999999999997</v>
      </c>
      <c r="R34" s="1">
        <f t="shared" si="1"/>
        <v>-10.799999999999997</v>
      </c>
      <c r="S34" t="s">
        <v>26</v>
      </c>
    </row>
    <row r="35" spans="1:21">
      <c r="A35">
        <v>2012</v>
      </c>
      <c r="B35">
        <v>2</v>
      </c>
      <c r="C35" t="s">
        <v>79</v>
      </c>
      <c r="D35" t="s">
        <v>21</v>
      </c>
      <c r="E35" t="s">
        <v>83</v>
      </c>
      <c r="F35" t="s">
        <v>80</v>
      </c>
      <c r="G35" t="s">
        <v>24</v>
      </c>
      <c r="H35" t="s">
        <v>84</v>
      </c>
      <c r="I35">
        <v>85.7</v>
      </c>
      <c r="J35">
        <v>96.6</v>
      </c>
      <c r="K35">
        <v>95.4</v>
      </c>
      <c r="M35">
        <v>96.2</v>
      </c>
      <c r="N35">
        <v>94.5</v>
      </c>
      <c r="O35">
        <v>99</v>
      </c>
      <c r="P35">
        <v>99</v>
      </c>
      <c r="Q35">
        <f t="shared" si="0"/>
        <v>-3.5999999999999943</v>
      </c>
      <c r="R35" s="1">
        <f t="shared" si="1"/>
        <v>-3.5999999999999943</v>
      </c>
      <c r="S35" t="s">
        <v>26</v>
      </c>
    </row>
    <row r="36" spans="1:21">
      <c r="A36">
        <v>2012</v>
      </c>
      <c r="B36">
        <v>2</v>
      </c>
      <c r="C36" t="s">
        <v>79</v>
      </c>
      <c r="D36" t="s">
        <v>21</v>
      </c>
      <c r="E36" t="s">
        <v>85</v>
      </c>
      <c r="F36" t="s">
        <v>80</v>
      </c>
      <c r="G36" t="s">
        <v>24</v>
      </c>
      <c r="H36" t="s">
        <v>86</v>
      </c>
      <c r="I36">
        <v>96.3</v>
      </c>
      <c r="J36">
        <v>96.9</v>
      </c>
      <c r="K36">
        <v>96.8</v>
      </c>
      <c r="M36">
        <v>97.8</v>
      </c>
      <c r="N36">
        <v>95.7</v>
      </c>
      <c r="O36">
        <v>99</v>
      </c>
      <c r="P36">
        <v>99</v>
      </c>
      <c r="Q36">
        <f t="shared" si="0"/>
        <v>-2.2000000000000028</v>
      </c>
      <c r="R36" s="1">
        <f t="shared" si="1"/>
        <v>-2.2000000000000028</v>
      </c>
      <c r="S36" t="s">
        <v>26</v>
      </c>
    </row>
    <row r="37" spans="1:21">
      <c r="A37">
        <v>2012</v>
      </c>
      <c r="B37">
        <v>1</v>
      </c>
      <c r="C37" t="s">
        <v>87</v>
      </c>
      <c r="D37" t="s">
        <v>21</v>
      </c>
      <c r="E37" t="s">
        <v>88</v>
      </c>
      <c r="F37" t="s">
        <v>89</v>
      </c>
      <c r="G37" t="s">
        <v>24</v>
      </c>
      <c r="H37" t="s">
        <v>90</v>
      </c>
      <c r="I37">
        <v>67.2</v>
      </c>
      <c r="J37">
        <v>66.900000000000006</v>
      </c>
      <c r="K37">
        <v>66.900000000000006</v>
      </c>
      <c r="L37">
        <v>21.2</v>
      </c>
      <c r="M37">
        <v>64</v>
      </c>
      <c r="N37">
        <v>69.900000000000006</v>
      </c>
      <c r="Q37">
        <f t="shared" si="0"/>
        <v>66.900000000000006</v>
      </c>
      <c r="R37" s="1">
        <f t="shared" si="1"/>
        <v>66.900000000000006</v>
      </c>
      <c r="S37" t="s">
        <v>26</v>
      </c>
    </row>
    <row r="38" spans="1:21">
      <c r="A38">
        <v>2013</v>
      </c>
      <c r="B38">
        <v>2</v>
      </c>
      <c r="C38" t="s">
        <v>87</v>
      </c>
      <c r="D38" t="s">
        <v>21</v>
      </c>
      <c r="E38" t="s">
        <v>91</v>
      </c>
      <c r="F38" t="s">
        <v>89</v>
      </c>
      <c r="G38" t="s">
        <v>92</v>
      </c>
      <c r="H38" t="s">
        <v>93</v>
      </c>
      <c r="I38">
        <v>39.200000000000003</v>
      </c>
      <c r="J38">
        <v>46.2</v>
      </c>
      <c r="K38">
        <v>45.2</v>
      </c>
      <c r="L38">
        <v>23</v>
      </c>
      <c r="M38">
        <v>47.6</v>
      </c>
      <c r="N38">
        <v>43.2</v>
      </c>
      <c r="O38">
        <v>97</v>
      </c>
      <c r="Q38">
        <f t="shared" si="0"/>
        <v>-51.8</v>
      </c>
      <c r="R38" s="1">
        <f t="shared" si="1"/>
        <v>-51.8</v>
      </c>
      <c r="S38" t="s">
        <v>40</v>
      </c>
      <c r="T38">
        <v>4.9741355110000001</v>
      </c>
      <c r="U38">
        <v>7.7936234259999999</v>
      </c>
    </row>
    <row r="39" spans="1:21">
      <c r="A39">
        <v>2013</v>
      </c>
      <c r="B39">
        <v>2</v>
      </c>
      <c r="C39" t="s">
        <v>87</v>
      </c>
      <c r="D39" t="s">
        <v>21</v>
      </c>
      <c r="E39" t="s">
        <v>94</v>
      </c>
      <c r="F39" t="s">
        <v>89</v>
      </c>
      <c r="G39" t="s">
        <v>92</v>
      </c>
      <c r="H39" t="s">
        <v>95</v>
      </c>
      <c r="I39">
        <v>53.7</v>
      </c>
      <c r="J39">
        <v>50</v>
      </c>
      <c r="K39">
        <v>50.7</v>
      </c>
      <c r="L39">
        <v>16.2</v>
      </c>
      <c r="M39">
        <v>50.5</v>
      </c>
      <c r="N39">
        <v>50.9</v>
      </c>
      <c r="O39">
        <v>92.6</v>
      </c>
      <c r="Q39">
        <f t="shared" si="0"/>
        <v>-41.899999999999991</v>
      </c>
      <c r="R39" s="1">
        <f t="shared" si="1"/>
        <v>-41.899999999999991</v>
      </c>
      <c r="S39" t="s">
        <v>40</v>
      </c>
      <c r="T39">
        <v>7.9133061180000004</v>
      </c>
      <c r="U39">
        <v>8.5899810720000005</v>
      </c>
    </row>
    <row r="40" spans="1:21">
      <c r="A40">
        <v>2011</v>
      </c>
      <c r="B40">
        <v>2</v>
      </c>
      <c r="C40" t="s">
        <v>96</v>
      </c>
      <c r="D40" t="s">
        <v>2</v>
      </c>
      <c r="E40" t="s">
        <v>97</v>
      </c>
      <c r="F40" t="s">
        <v>98</v>
      </c>
      <c r="G40" t="s">
        <v>47</v>
      </c>
      <c r="H40" t="s">
        <v>48</v>
      </c>
      <c r="I40">
        <v>96.8</v>
      </c>
      <c r="J40">
        <v>91.4</v>
      </c>
      <c r="K40">
        <v>92.4</v>
      </c>
      <c r="M40">
        <v>93.8</v>
      </c>
      <c r="N40">
        <v>91</v>
      </c>
      <c r="Q40">
        <f t="shared" si="0"/>
        <v>92.4</v>
      </c>
      <c r="R40" s="1">
        <f t="shared" si="1"/>
        <v>92.4</v>
      </c>
      <c r="S40" t="s">
        <v>26</v>
      </c>
    </row>
    <row r="41" spans="1:21">
      <c r="A41">
        <v>2012</v>
      </c>
      <c r="B41">
        <v>1</v>
      </c>
      <c r="C41" t="s">
        <v>96</v>
      </c>
      <c r="D41" t="s">
        <v>2</v>
      </c>
      <c r="E41" t="s">
        <v>96</v>
      </c>
      <c r="F41" t="s">
        <v>98</v>
      </c>
      <c r="G41" t="s">
        <v>47</v>
      </c>
      <c r="H41" t="s">
        <v>48</v>
      </c>
      <c r="I41">
        <v>96.9</v>
      </c>
      <c r="J41">
        <v>96.3</v>
      </c>
      <c r="K41">
        <v>96.4</v>
      </c>
      <c r="M41">
        <v>96.5</v>
      </c>
      <c r="N41">
        <v>96.3</v>
      </c>
      <c r="Q41">
        <f t="shared" si="0"/>
        <v>96.4</v>
      </c>
      <c r="R41" s="1">
        <f t="shared" si="1"/>
        <v>96.4</v>
      </c>
      <c r="S41" t="s">
        <v>26</v>
      </c>
    </row>
    <row r="42" spans="1:21">
      <c r="A42">
        <v>2012</v>
      </c>
      <c r="B42">
        <v>2</v>
      </c>
      <c r="C42" t="s">
        <v>96</v>
      </c>
      <c r="D42" t="s">
        <v>2</v>
      </c>
      <c r="E42" t="s">
        <v>96</v>
      </c>
      <c r="F42" t="s">
        <v>98</v>
      </c>
      <c r="G42" t="s">
        <v>47</v>
      </c>
      <c r="H42" t="s">
        <v>48</v>
      </c>
      <c r="K42">
        <v>91.5</v>
      </c>
      <c r="L42">
        <v>87.2</v>
      </c>
      <c r="M42">
        <v>91.9</v>
      </c>
      <c r="N42">
        <v>90.9</v>
      </c>
      <c r="O42">
        <v>97.4</v>
      </c>
      <c r="P42">
        <v>97.4</v>
      </c>
      <c r="Q42">
        <f t="shared" si="0"/>
        <v>-5.9000000000000057</v>
      </c>
      <c r="R42" s="1">
        <f t="shared" si="1"/>
        <v>-5.9000000000000057</v>
      </c>
      <c r="S42" t="s">
        <v>26</v>
      </c>
    </row>
    <row r="43" spans="1:21">
      <c r="A43">
        <v>2012</v>
      </c>
      <c r="B43">
        <v>1</v>
      </c>
      <c r="C43" t="s">
        <v>99</v>
      </c>
      <c r="D43" t="s">
        <v>21</v>
      </c>
      <c r="E43" t="s">
        <v>100</v>
      </c>
      <c r="F43" t="s">
        <v>101</v>
      </c>
      <c r="G43" t="s">
        <v>24</v>
      </c>
      <c r="H43" t="s">
        <v>102</v>
      </c>
      <c r="I43">
        <v>88</v>
      </c>
      <c r="J43">
        <v>84.9</v>
      </c>
      <c r="K43">
        <v>85.3</v>
      </c>
      <c r="L43">
        <v>76.400000000000006</v>
      </c>
      <c r="M43">
        <v>86.5</v>
      </c>
      <c r="N43">
        <v>84.3</v>
      </c>
      <c r="O43">
        <v>95.9</v>
      </c>
      <c r="P43">
        <v>108</v>
      </c>
      <c r="Q43">
        <f t="shared" si="0"/>
        <v>-10.600000000000009</v>
      </c>
      <c r="R43" s="1">
        <f t="shared" si="1"/>
        <v>-10.600000000000009</v>
      </c>
      <c r="S43" t="s">
        <v>26</v>
      </c>
    </row>
    <row r="44" spans="1:21">
      <c r="A44">
        <v>2012</v>
      </c>
      <c r="B44">
        <v>2</v>
      </c>
      <c r="C44" t="s">
        <v>99</v>
      </c>
      <c r="D44" t="s">
        <v>21</v>
      </c>
      <c r="E44" t="s">
        <v>103</v>
      </c>
      <c r="F44" t="s">
        <v>101</v>
      </c>
      <c r="G44" t="s">
        <v>24</v>
      </c>
      <c r="H44" t="s">
        <v>104</v>
      </c>
      <c r="I44">
        <v>65.2</v>
      </c>
      <c r="J44">
        <v>65.8</v>
      </c>
      <c r="K44">
        <v>65.7</v>
      </c>
      <c r="L44">
        <v>54.2</v>
      </c>
      <c r="M44">
        <v>69.8</v>
      </c>
      <c r="N44">
        <v>61.5</v>
      </c>
      <c r="O44">
        <v>99.5</v>
      </c>
      <c r="P44">
        <v>99</v>
      </c>
      <c r="Q44">
        <f t="shared" si="0"/>
        <v>-33.799999999999997</v>
      </c>
      <c r="R44" s="1">
        <f t="shared" si="1"/>
        <v>-33.799999999999997</v>
      </c>
      <c r="S44" t="s">
        <v>26</v>
      </c>
    </row>
    <row r="45" spans="1:21">
      <c r="A45">
        <v>2013</v>
      </c>
      <c r="B45">
        <v>2</v>
      </c>
      <c r="C45" t="s">
        <v>97</v>
      </c>
      <c r="D45" t="s">
        <v>2</v>
      </c>
      <c r="E45" t="s">
        <v>97</v>
      </c>
      <c r="F45" t="s">
        <v>105</v>
      </c>
      <c r="G45" t="s">
        <v>47</v>
      </c>
      <c r="H45" t="s">
        <v>48</v>
      </c>
      <c r="I45">
        <v>85.1</v>
      </c>
      <c r="J45">
        <v>90.3</v>
      </c>
      <c r="K45">
        <v>89.7</v>
      </c>
      <c r="L45">
        <v>87.9</v>
      </c>
      <c r="M45">
        <v>91.1</v>
      </c>
      <c r="N45">
        <v>88.3</v>
      </c>
      <c r="O45">
        <v>83.6</v>
      </c>
      <c r="P45">
        <v>83.6</v>
      </c>
      <c r="Q45">
        <f t="shared" si="0"/>
        <v>6.1000000000000085</v>
      </c>
      <c r="R45" s="1">
        <f t="shared" si="1"/>
        <v>6.1000000000000085</v>
      </c>
      <c r="S45" t="s">
        <v>40</v>
      </c>
    </row>
    <row r="46" spans="1:21">
      <c r="A46">
        <v>2013</v>
      </c>
      <c r="B46">
        <v>2</v>
      </c>
      <c r="C46" t="s">
        <v>99</v>
      </c>
      <c r="D46" t="s">
        <v>21</v>
      </c>
      <c r="E46" t="s">
        <v>106</v>
      </c>
      <c r="F46" t="s">
        <v>101</v>
      </c>
      <c r="G46" t="s">
        <v>92</v>
      </c>
      <c r="H46" t="s">
        <v>107</v>
      </c>
      <c r="I46">
        <v>36</v>
      </c>
      <c r="J46">
        <v>32.5</v>
      </c>
      <c r="K46">
        <v>37.200000000000003</v>
      </c>
      <c r="L46">
        <v>36</v>
      </c>
      <c r="M46">
        <v>32.1</v>
      </c>
      <c r="N46">
        <v>37.299999999999997</v>
      </c>
      <c r="O46">
        <v>34.700000000000003</v>
      </c>
      <c r="P46">
        <v>98.4</v>
      </c>
      <c r="Q46">
        <f t="shared" si="0"/>
        <v>2.5</v>
      </c>
      <c r="R46" s="1">
        <f t="shared" si="1"/>
        <v>2.5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hki-vas-data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Jaschke, Leigh (HKI)</dc:creator>
  <cp:lastModifiedBy>Matt</cp:lastModifiedBy>
  <dcterms:created xsi:type="dcterms:W3CDTF">2014-05-26T12:04:19Z</dcterms:created>
  <dcterms:modified xsi:type="dcterms:W3CDTF">2014-08-17T21:08:59Z</dcterms:modified>
</cp:coreProperties>
</file>